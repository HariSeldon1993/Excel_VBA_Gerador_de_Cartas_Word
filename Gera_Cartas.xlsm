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ARQUIVOS\DEV\Exercícios Excel\"/>
    </mc:Choice>
  </mc:AlternateContent>
  <xr:revisionPtr revIDLastSave="0" documentId="13_ncr:1_{8EE050EE-32CD-44F2-8183-A5191967B31E}" xr6:coauthVersionLast="47" xr6:coauthVersionMax="47" xr10:uidLastSave="{00000000-0000-0000-0000-000000000000}"/>
  <bookViews>
    <workbookView xWindow="28680" yWindow="-120" windowWidth="20730" windowHeight="11040" activeTab="3" xr2:uid="{1CBC10CF-C437-44AE-A8FE-D238B417CFD1}"/>
  </bookViews>
  <sheets>
    <sheet name="ENTRADA" sheetId="1" r:id="rId1"/>
    <sheet name="DADOS" sheetId="2" r:id="rId2"/>
    <sheet name="listas" sheetId="4" r:id="rId3"/>
    <sheet name="FILTRO" sheetId="5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" i="2" l="1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" i="2"/>
  <c r="A5" i="5"/>
  <c r="A6" i="5"/>
  <c r="D6" i="5" s="1"/>
  <c r="A7" i="5"/>
  <c r="E7" i="5" s="1"/>
  <c r="A8" i="5"/>
  <c r="F8" i="5" s="1"/>
  <c r="A9" i="5"/>
  <c r="G9" i="5" s="1"/>
  <c r="A10" i="5"/>
  <c r="H10" i="5" s="1"/>
  <c r="A11" i="5"/>
  <c r="I11" i="5" s="1"/>
  <c r="A12" i="5"/>
  <c r="C12" i="5" s="1"/>
  <c r="A13" i="5"/>
  <c r="C13" i="5" s="1"/>
  <c r="A4" i="5"/>
  <c r="H4" i="5" s="1"/>
  <c r="A3" i="2"/>
  <c r="A9" i="2"/>
  <c r="A11" i="2"/>
  <c r="A17" i="2"/>
  <c r="A19" i="2"/>
  <c r="A25" i="2"/>
  <c r="A27" i="2"/>
  <c r="B3" i="2"/>
  <c r="B4" i="2"/>
  <c r="A4" i="2" s="1"/>
  <c r="B5" i="2"/>
  <c r="A5" i="2" s="1"/>
  <c r="B6" i="2"/>
  <c r="A6" i="2" s="1"/>
  <c r="B7" i="2"/>
  <c r="A7" i="2" s="1"/>
  <c r="B8" i="2"/>
  <c r="A8" i="2" s="1"/>
  <c r="B9" i="2"/>
  <c r="B10" i="2"/>
  <c r="A10" i="2" s="1"/>
  <c r="B11" i="2"/>
  <c r="B12" i="2"/>
  <c r="A12" i="2" s="1"/>
  <c r="B13" i="2"/>
  <c r="A13" i="2" s="1"/>
  <c r="B14" i="2"/>
  <c r="A14" i="2" s="1"/>
  <c r="B15" i="2"/>
  <c r="A15" i="2" s="1"/>
  <c r="B16" i="2"/>
  <c r="A16" i="2" s="1"/>
  <c r="B17" i="2"/>
  <c r="B18" i="2"/>
  <c r="A18" i="2" s="1"/>
  <c r="B19" i="2"/>
  <c r="B20" i="2"/>
  <c r="A20" i="2" s="1"/>
  <c r="B21" i="2"/>
  <c r="A21" i="2" s="1"/>
  <c r="B22" i="2"/>
  <c r="A22" i="2" s="1"/>
  <c r="B23" i="2"/>
  <c r="A23" i="2" s="1"/>
  <c r="B24" i="2"/>
  <c r="A24" i="2" s="1"/>
  <c r="B25" i="2"/>
  <c r="B26" i="2"/>
  <c r="A26" i="2" s="1"/>
  <c r="B27" i="2"/>
  <c r="A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" i="2"/>
  <c r="B2" i="2"/>
  <c r="C5" i="5" l="1"/>
  <c r="I6" i="5"/>
  <c r="J13" i="5"/>
  <c r="J12" i="5"/>
  <c r="J11" i="5"/>
  <c r="J10" i="5"/>
  <c r="J5" i="5"/>
  <c r="J9" i="5"/>
  <c r="J8" i="5"/>
  <c r="J7" i="5"/>
  <c r="J4" i="5"/>
  <c r="J6" i="5"/>
  <c r="I5" i="5"/>
  <c r="I4" i="5"/>
  <c r="I13" i="5"/>
  <c r="E8" i="5"/>
  <c r="H13" i="5"/>
  <c r="D8" i="5"/>
  <c r="G13" i="5"/>
  <c r="C8" i="5"/>
  <c r="G10" i="5"/>
  <c r="I7" i="5"/>
  <c r="E4" i="5"/>
  <c r="F10" i="5"/>
  <c r="D7" i="5"/>
  <c r="D4" i="5"/>
  <c r="F9" i="5"/>
  <c r="C7" i="5"/>
  <c r="E9" i="5"/>
  <c r="H6" i="5"/>
  <c r="D9" i="5"/>
  <c r="H5" i="5"/>
  <c r="I12" i="5"/>
  <c r="H11" i="5"/>
  <c r="C6" i="5"/>
  <c r="H12" i="5"/>
  <c r="G11" i="5"/>
  <c r="G5" i="5"/>
  <c r="C4" i="5"/>
  <c r="F13" i="5"/>
  <c r="E12" i="5"/>
  <c r="D11" i="5"/>
  <c r="C10" i="5"/>
  <c r="I8" i="5"/>
  <c r="H7" i="5"/>
  <c r="G6" i="5"/>
  <c r="F5" i="5"/>
  <c r="D10" i="5"/>
  <c r="C9" i="5"/>
  <c r="F4" i="5"/>
  <c r="E13" i="5"/>
  <c r="D12" i="5"/>
  <c r="C11" i="5"/>
  <c r="I9" i="5"/>
  <c r="H8" i="5"/>
  <c r="G7" i="5"/>
  <c r="F6" i="5"/>
  <c r="E5" i="5"/>
  <c r="G12" i="5"/>
  <c r="E10" i="5"/>
  <c r="F12" i="5"/>
  <c r="G4" i="5"/>
  <c r="D13" i="5"/>
  <c r="I10" i="5"/>
  <c r="H9" i="5"/>
  <c r="G8" i="5"/>
  <c r="F7" i="5"/>
  <c r="E6" i="5"/>
  <c r="D5" i="5"/>
  <c r="F11" i="5"/>
  <c r="E11" i="5"/>
</calcChain>
</file>

<file path=xl/sharedStrings.xml><?xml version="1.0" encoding="utf-8"?>
<sst xmlns="http://schemas.openxmlformats.org/spreadsheetml/2006/main" count="140" uniqueCount="66">
  <si>
    <t>CHAVE</t>
  </si>
  <si>
    <t>CONTADOR</t>
  </si>
  <si>
    <t>DOC</t>
  </si>
  <si>
    <t>NOME</t>
  </si>
  <si>
    <t>DATA NASC</t>
  </si>
  <si>
    <t>STATUS</t>
  </si>
  <si>
    <t>PRODUTO</t>
  </si>
  <si>
    <t>VALOR</t>
  </si>
  <si>
    <t>texto</t>
  </si>
  <si>
    <t>Mouse Gamer RGB</t>
  </si>
  <si>
    <t>Mouse óptico com sensor de alta precisão de até 12.000 DPI, iluminação RGB configurável, seis botões programáveis e cabo reforçado em nylon. Indicado para jogos e uso profissional. Garantia de 12 meses.</t>
  </si>
  <si>
    <t>Teclado Mecânico TKL</t>
  </si>
  <si>
    <t>Teclado mecânico no padrão ABNT2, layout compacto (Tenkeyless), switches táteis, iluminação LED branca com intensidade ajustável e estrutura em alumínio. Compatível com Windows, Linux e macOS.</t>
  </si>
  <si>
    <t>Monitor LED 27"</t>
  </si>
  <si>
    <t>Monitor IPS Full HD de 27 polegadas com taxa de atualização de 75 Hz, tempo de resposta de 5 ms e entradas HDMI e DisplayPort. Possui tecnologia de redução de luz azul e ajuste de inclinação para maior conforto durante longos períodos de uso.</t>
  </si>
  <si>
    <t>SSD NVMe 1 TB</t>
  </si>
  <si>
    <t>Unidade de armazenamento SSD NVMe PCIe 4.0 com capacidade de 1 TB, velocidades de leitura de até 7.000 MB/s e gravação de até 5.000 MB/s. Ideal para notebooks, desktops e estações de trabalho que exigem alto desempenho.</t>
  </si>
  <si>
    <t>Webcam Full HD</t>
  </si>
  <si>
    <t>Webcam USB com resolução Full HD (1080p), microfone integrado com redução de ruído, foco automático e tampa de privacidade. Recomendada para videoconferências, aulas online e transmissões ao vivo.</t>
  </si>
  <si>
    <t>valor</t>
  </si>
  <si>
    <t>FULANO 01</t>
  </si>
  <si>
    <t>FULANO 02</t>
  </si>
  <si>
    <t>FULANO 03</t>
  </si>
  <si>
    <t>FULANO 04</t>
  </si>
  <si>
    <t>FULANO 05</t>
  </si>
  <si>
    <t>FULANO 06</t>
  </si>
  <si>
    <t>FULANO 12</t>
  </si>
  <si>
    <t>FULANO 13</t>
  </si>
  <si>
    <t>FULANO 14</t>
  </si>
  <si>
    <t>FULANO 15</t>
  </si>
  <si>
    <t>FULANO 16</t>
  </si>
  <si>
    <t>FULANO 17</t>
  </si>
  <si>
    <t>FULANO 18</t>
  </si>
  <si>
    <t>FULANO 19</t>
  </si>
  <si>
    <t>FULANO 20</t>
  </si>
  <si>
    <t>FULANO 21</t>
  </si>
  <si>
    <t>FULANO 22</t>
  </si>
  <si>
    <t>FULANO 23</t>
  </si>
  <si>
    <t>ATIVO</t>
  </si>
  <si>
    <t>CANCELADO</t>
  </si>
  <si>
    <t>CONTROLE</t>
  </si>
  <si>
    <t>USUARIO:</t>
  </si>
  <si>
    <t>ACER</t>
  </si>
  <si>
    <t>NUM DOC</t>
  </si>
  <si>
    <t>DT NASC</t>
  </si>
  <si>
    <t>NUM_DOC</t>
  </si>
  <si>
    <t>D-A01</t>
  </si>
  <si>
    <t>D-A02</t>
  </si>
  <si>
    <t>D-A03</t>
  </si>
  <si>
    <t>D-A04</t>
  </si>
  <si>
    <t>D-A05</t>
  </si>
  <si>
    <t>D-A06</t>
  </si>
  <si>
    <t>D-A07</t>
  </si>
  <si>
    <t>D-A08</t>
  </si>
  <si>
    <t>D-A09</t>
  </si>
  <si>
    <t>D-A10</t>
  </si>
  <si>
    <t>D-A11</t>
  </si>
  <si>
    <t>D-A12</t>
  </si>
  <si>
    <t>D-A13</t>
  </si>
  <si>
    <t>D-A14</t>
  </si>
  <si>
    <t>D-A15</t>
  </si>
  <si>
    <t>D-A16</t>
  </si>
  <si>
    <t>D-A17</t>
  </si>
  <si>
    <t>D-A18</t>
  </si>
  <si>
    <t>A INCRÍVEL LOJA DE INFORMÁTICA</t>
  </si>
  <si>
    <t>OBRIGADO, E VOLTE SEMPRE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</si>
</sst>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R$&quot;\ #,##0.00"/>
  </numFmts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89999084444715716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vertical="center" wrapText="1"/>
    </xf>
    <xf numFmtId="164" fontId="0" fillId="0" borderId="0" xfId="0" applyNumberFormat="1"/>
    <xf numFmtId="14" fontId="0" fillId="0" borderId="0" xfId="0" applyNumberFormat="1"/>
    <xf numFmtId="0" fontId="0" fillId="0" borderId="1" xfId="0" applyBorder="1"/>
    <xf numFmtId="0" fontId="0" fillId="2" borderId="1" xfId="0" applyFill="1" applyBorder="1"/>
    <xf numFmtId="0" fontId="1" fillId="3" borderId="1" xfId="0" applyFont="1" applyFill="1" applyBorder="1" applyAlignment="1">
      <alignment vertical="center"/>
    </xf>
    <xf numFmtId="0" fontId="1" fillId="2" borderId="2" xfId="0" applyFont="1" applyFill="1" applyBorder="1"/>
    <xf numFmtId="0" fontId="1" fillId="4" borderId="1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4</xdr:col>
          <xdr:colOff>609600</xdr:colOff>
          <xdr:row>1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GERAR CARTAS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496F4-9A5D-4CDA-A896-1AC3B137B9EA}">
  <sheetPr codeName="Planilha1"/>
  <dimension ref="A1:C20"/>
  <sheetViews>
    <sheetView workbookViewId="0">
      <selection activeCell="B4" sqref="B4"/>
    </sheetView>
  </sheetViews>
  <sheetFormatPr defaultRowHeight="15" x14ac:dyDescent="0.25"/>
  <cols>
    <col min="1" max="1" width="12.42578125" bestFit="1" customWidth="1"/>
    <col min="2" max="2" width="12.140625" bestFit="1" customWidth="1"/>
    <col min="3" max="3" width="10.42578125" bestFit="1" customWidth="1"/>
  </cols>
  <sheetData>
    <row r="1" spans="1:3" x14ac:dyDescent="0.25">
      <c r="A1" s="5" t="s">
        <v>41</v>
      </c>
      <c r="B1" s="4" t="s">
        <v>42</v>
      </c>
    </row>
    <row r="2" spans="1:3" x14ac:dyDescent="0.25">
      <c r="A2" s="6" t="s">
        <v>2</v>
      </c>
      <c r="B2" s="6" t="s">
        <v>5</v>
      </c>
      <c r="C2" s="6" t="s">
        <v>45</v>
      </c>
    </row>
    <row r="3" spans="1:3" x14ac:dyDescent="0.25">
      <c r="A3" s="4">
        <v>123</v>
      </c>
      <c r="B3" s="4"/>
      <c r="C3" s="4" t="s">
        <v>46</v>
      </c>
    </row>
    <row r="4" spans="1:3" x14ac:dyDescent="0.25">
      <c r="A4" s="4">
        <v>456</v>
      </c>
      <c r="B4" s="4"/>
      <c r="C4" s="4" t="s">
        <v>47</v>
      </c>
    </row>
    <row r="5" spans="1:3" x14ac:dyDescent="0.25">
      <c r="A5" s="4">
        <v>789</v>
      </c>
      <c r="B5" s="4"/>
      <c r="C5" s="4" t="s">
        <v>48</v>
      </c>
    </row>
    <row r="6" spans="1:3" x14ac:dyDescent="0.25">
      <c r="A6" s="4">
        <v>1122</v>
      </c>
      <c r="B6" s="4"/>
      <c r="C6" s="4" t="s">
        <v>49</v>
      </c>
    </row>
    <row r="7" spans="1:3" x14ac:dyDescent="0.25">
      <c r="A7" s="4">
        <v>1455</v>
      </c>
      <c r="B7" s="4"/>
      <c r="C7" s="4" t="s">
        <v>50</v>
      </c>
    </row>
    <row r="8" spans="1:3" x14ac:dyDescent="0.25">
      <c r="A8" s="4">
        <v>1788</v>
      </c>
      <c r="B8" s="4"/>
      <c r="C8" s="4" t="s">
        <v>51</v>
      </c>
    </row>
    <row r="9" spans="1:3" x14ac:dyDescent="0.25">
      <c r="A9" s="4">
        <v>2121</v>
      </c>
      <c r="B9" s="4"/>
      <c r="C9" s="4" t="s">
        <v>52</v>
      </c>
    </row>
    <row r="10" spans="1:3" x14ac:dyDescent="0.25">
      <c r="A10" s="4">
        <v>2454</v>
      </c>
      <c r="B10" s="4"/>
      <c r="C10" s="4" t="s">
        <v>53</v>
      </c>
    </row>
    <row r="11" spans="1:3" x14ac:dyDescent="0.25">
      <c r="A11" s="4">
        <v>2787</v>
      </c>
      <c r="B11" s="4"/>
      <c r="C11" s="4" t="s">
        <v>54</v>
      </c>
    </row>
    <row r="12" spans="1:3" x14ac:dyDescent="0.25">
      <c r="A12" s="4">
        <v>3120</v>
      </c>
      <c r="B12" s="4"/>
      <c r="C12" s="4" t="s">
        <v>55</v>
      </c>
    </row>
    <row r="13" spans="1:3" x14ac:dyDescent="0.25">
      <c r="A13" s="4">
        <v>3453</v>
      </c>
      <c r="B13" s="4"/>
      <c r="C13" s="4" t="s">
        <v>56</v>
      </c>
    </row>
    <row r="14" spans="1:3" x14ac:dyDescent="0.25">
      <c r="A14" s="4">
        <v>3786</v>
      </c>
      <c r="B14" s="4"/>
      <c r="C14" s="4" t="s">
        <v>57</v>
      </c>
    </row>
    <row r="15" spans="1:3" x14ac:dyDescent="0.25">
      <c r="A15" s="4">
        <v>4119</v>
      </c>
      <c r="B15" s="4"/>
      <c r="C15" s="4" t="s">
        <v>58</v>
      </c>
    </row>
    <row r="16" spans="1:3" x14ac:dyDescent="0.25">
      <c r="A16" s="4">
        <v>4452</v>
      </c>
      <c r="B16" s="4"/>
      <c r="C16" s="4" t="s">
        <v>59</v>
      </c>
    </row>
    <row r="17" spans="1:3" x14ac:dyDescent="0.25">
      <c r="A17" s="4">
        <v>4785</v>
      </c>
      <c r="B17" s="4"/>
      <c r="C17" s="4" t="s">
        <v>60</v>
      </c>
    </row>
    <row r="18" spans="1:3" x14ac:dyDescent="0.25">
      <c r="A18" s="4">
        <v>5118</v>
      </c>
      <c r="B18" s="4"/>
      <c r="C18" s="4" t="s">
        <v>61</v>
      </c>
    </row>
    <row r="19" spans="1:3" x14ac:dyDescent="0.25">
      <c r="A19" s="4">
        <v>5451</v>
      </c>
      <c r="B19" s="4"/>
      <c r="C19" s="4" t="s">
        <v>62</v>
      </c>
    </row>
    <row r="20" spans="1:3" x14ac:dyDescent="0.25">
      <c r="A20" s="4">
        <v>5784</v>
      </c>
      <c r="B20" s="4"/>
      <c r="C20" s="4" t="s">
        <v>63</v>
      </c>
    </row>
  </sheetData>
  <phoneticPr fontId="2" type="noConversion"/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gera_Carta.gera_Carta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4</xdr:col>
                    <xdr:colOff>609600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5F3EBA-A751-40EC-B91D-765016AC52E9}">
  <sheetPr codeName="Planilha2"/>
  <dimension ref="A1:J27"/>
  <sheetViews>
    <sheetView workbookViewId="0">
      <selection activeCell="C2" sqref="C2"/>
    </sheetView>
  </sheetViews>
  <sheetFormatPr defaultRowHeight="15" x14ac:dyDescent="0.25"/>
  <cols>
    <col min="4" max="4" width="10.5703125" bestFit="1" customWidth="1"/>
    <col min="5" max="5" width="10.7109375" bestFit="1" customWidth="1"/>
    <col min="6" max="6" width="11.5703125" bestFit="1" customWidth="1"/>
    <col min="7" max="7" width="20.7109375" bestFit="1" customWidth="1"/>
    <col min="8" max="8" width="49.28515625" customWidth="1"/>
    <col min="9" max="9" width="10.7109375" bestFit="1" customWidth="1"/>
    <col min="10" max="10" width="10" bestFit="1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8</v>
      </c>
      <c r="I1" t="s">
        <v>7</v>
      </c>
      <c r="J1" t="s">
        <v>45</v>
      </c>
    </row>
    <row r="2" spans="1:10" x14ac:dyDescent="0.25">
      <c r="A2" t="str">
        <f>C2&amp;"-"&amp;B2</f>
        <v>123-1</v>
      </c>
      <c r="B2">
        <f>COUNTIF($C$1:C2,C2)</f>
        <v>1</v>
      </c>
      <c r="C2">
        <v>123</v>
      </c>
      <c r="D2" t="s">
        <v>20</v>
      </c>
      <c r="E2" s="3">
        <v>40341</v>
      </c>
      <c r="F2" t="s">
        <v>38</v>
      </c>
      <c r="G2" t="s">
        <v>9</v>
      </c>
      <c r="H2" t="str">
        <f>VLOOKUP(G2,listas!A:B,2,0)</f>
        <v>Mouse óptico com sensor de alta precisão de até 12.000 DPI, iluminação RGB configurável, seis botões programáveis e cabo reforçado em nylon. Indicado para jogos e uso profissional. Garantia de 12 meses.</v>
      </c>
      <c r="I2" s="2">
        <f>VLOOKUP(G2,listas!A:C,3,0)</f>
        <v>189.9</v>
      </c>
      <c r="J2" t="str">
        <f>VLOOKUP(C2,ENTRADA!A:C,3,0)</f>
        <v>D-A01</v>
      </c>
    </row>
    <row r="3" spans="1:10" x14ac:dyDescent="0.25">
      <c r="A3" t="str">
        <f t="shared" ref="A3:A27" si="0">C3&amp;"-"&amp;B3</f>
        <v>123-2</v>
      </c>
      <c r="B3">
        <f>COUNTIF($C$1:C3,C3)</f>
        <v>2</v>
      </c>
      <c r="C3">
        <v>123</v>
      </c>
      <c r="D3" t="s">
        <v>20</v>
      </c>
      <c r="E3" s="3">
        <v>40341</v>
      </c>
      <c r="F3" t="s">
        <v>38</v>
      </c>
      <c r="G3" t="s">
        <v>11</v>
      </c>
      <c r="H3" t="str">
        <f>VLOOKUP(G3,listas!A:B,2,0)</f>
        <v>Teclado mecânico no padrão ABNT2, layout compacto (Tenkeyless), switches táteis, iluminação LED branca com intensidade ajustável e estrutura em alumínio. Compatível com Windows, Linux e macOS.</v>
      </c>
      <c r="I3" s="2">
        <f>VLOOKUP(G3,listas!A:C,3,0)</f>
        <v>349.9</v>
      </c>
      <c r="J3" t="str">
        <f>VLOOKUP(C3,ENTRADA!A:C,3,0)</f>
        <v>D-A01</v>
      </c>
    </row>
    <row r="4" spans="1:10" x14ac:dyDescent="0.25">
      <c r="A4" t="str">
        <f t="shared" si="0"/>
        <v>456-1</v>
      </c>
      <c r="B4">
        <f>COUNTIF($C$1:C4,C4)</f>
        <v>1</v>
      </c>
      <c r="C4">
        <v>456</v>
      </c>
      <c r="D4" t="s">
        <v>21</v>
      </c>
      <c r="E4" s="3">
        <v>33211</v>
      </c>
      <c r="F4" t="s">
        <v>39</v>
      </c>
      <c r="G4" t="s">
        <v>15</v>
      </c>
      <c r="H4" t="str">
        <f>VLOOKUP(G4,listas!A:B,2,0)</f>
        <v>Unidade de armazenamento SSD NVMe PCIe 4.0 com capacidade de 1 TB, velocidades de leitura de até 7.000 MB/s e gravação de até 5.000 MB/s. Ideal para notebooks, desktops e estações de trabalho que exigem alto desempenho.</v>
      </c>
      <c r="I4" s="2">
        <f>VLOOKUP(G4,listas!A:C,3,0)</f>
        <v>599.9</v>
      </c>
      <c r="J4" t="str">
        <f>VLOOKUP(C4,ENTRADA!A:C,3,0)</f>
        <v>D-A02</v>
      </c>
    </row>
    <row r="5" spans="1:10" x14ac:dyDescent="0.25">
      <c r="A5" t="str">
        <f t="shared" si="0"/>
        <v>456-2</v>
      </c>
      <c r="B5">
        <f>COUNTIF($C$1:C5,C5)</f>
        <v>2</v>
      </c>
      <c r="C5">
        <v>456</v>
      </c>
      <c r="D5" t="s">
        <v>21</v>
      </c>
      <c r="E5" s="3">
        <v>33211</v>
      </c>
      <c r="F5" t="s">
        <v>39</v>
      </c>
      <c r="G5" t="s">
        <v>13</v>
      </c>
      <c r="H5" t="str">
        <f>VLOOKUP(G5,listas!A:B,2,0)</f>
        <v>Monitor IPS Full HD de 27 polegadas com taxa de atualização de 75 Hz, tempo de resposta de 5 ms e entradas HDMI e DisplayPort. Possui tecnologia de redução de luz azul e ajuste de inclinação para maior conforto durante longos períodos de uso.</v>
      </c>
      <c r="I5" s="2">
        <f>VLOOKUP(G5,listas!A:C,3,0)</f>
        <v>1249.9000000000001</v>
      </c>
      <c r="J5" t="str">
        <f>VLOOKUP(C5,ENTRADA!A:C,3,0)</f>
        <v>D-A02</v>
      </c>
    </row>
    <row r="6" spans="1:10" x14ac:dyDescent="0.25">
      <c r="A6" t="str">
        <f t="shared" si="0"/>
        <v>456-3</v>
      </c>
      <c r="B6">
        <f>COUNTIF($C$1:C6,C6)</f>
        <v>3</v>
      </c>
      <c r="C6">
        <v>456</v>
      </c>
      <c r="D6" t="s">
        <v>21</v>
      </c>
      <c r="E6" s="3">
        <v>33211</v>
      </c>
      <c r="F6" t="s">
        <v>39</v>
      </c>
      <c r="G6" t="s">
        <v>17</v>
      </c>
      <c r="H6" t="str">
        <f>VLOOKUP(G6,listas!A:B,2,0)</f>
        <v>Webcam USB com resolução Full HD (1080p), microfone integrado com redução de ruído, foco automático e tampa de privacidade. Recomendada para videoconferências, aulas online e transmissões ao vivo.</v>
      </c>
      <c r="I6" s="2">
        <f>VLOOKUP(G6,listas!A:C,3,0)</f>
        <v>279.89999999999998</v>
      </c>
      <c r="J6" t="str">
        <f>VLOOKUP(C6,ENTRADA!A:C,3,0)</f>
        <v>D-A02</v>
      </c>
    </row>
    <row r="7" spans="1:10" x14ac:dyDescent="0.25">
      <c r="A7" t="str">
        <f t="shared" si="0"/>
        <v>789-1</v>
      </c>
      <c r="B7">
        <f>COUNTIF($C$1:C7,C7)</f>
        <v>1</v>
      </c>
      <c r="C7">
        <v>789</v>
      </c>
      <c r="D7" t="s">
        <v>22</v>
      </c>
      <c r="E7" s="3">
        <v>18548</v>
      </c>
      <c r="F7" t="s">
        <v>38</v>
      </c>
      <c r="G7" t="s">
        <v>17</v>
      </c>
      <c r="H7" t="str">
        <f>VLOOKUP(G7,listas!A:B,2,0)</f>
        <v>Webcam USB com resolução Full HD (1080p), microfone integrado com redução de ruído, foco automático e tampa de privacidade. Recomendada para videoconferências, aulas online e transmissões ao vivo.</v>
      </c>
      <c r="I7" s="2">
        <f>VLOOKUP(G7,listas!A:C,3,0)</f>
        <v>279.89999999999998</v>
      </c>
      <c r="J7" t="str">
        <f>VLOOKUP(C7,ENTRADA!A:C,3,0)</f>
        <v>D-A03</v>
      </c>
    </row>
    <row r="8" spans="1:10" x14ac:dyDescent="0.25">
      <c r="A8" t="str">
        <f t="shared" si="0"/>
        <v>1122-1</v>
      </c>
      <c r="B8">
        <f>COUNTIF($C$1:C8,C8)</f>
        <v>1</v>
      </c>
      <c r="C8">
        <v>1122</v>
      </c>
      <c r="D8" t="s">
        <v>23</v>
      </c>
      <c r="E8" s="3">
        <v>31162</v>
      </c>
      <c r="F8" t="s">
        <v>38</v>
      </c>
      <c r="G8" t="s">
        <v>11</v>
      </c>
      <c r="H8" t="str">
        <f>VLOOKUP(G8,listas!A:B,2,0)</f>
        <v>Teclado mecânico no padrão ABNT2, layout compacto (Tenkeyless), switches táteis, iluminação LED branca com intensidade ajustável e estrutura em alumínio. Compatível com Windows, Linux e macOS.</v>
      </c>
      <c r="I8" s="2">
        <f>VLOOKUP(G8,listas!A:C,3,0)</f>
        <v>349.9</v>
      </c>
      <c r="J8" t="str">
        <f>VLOOKUP(C8,ENTRADA!A:C,3,0)</f>
        <v>D-A04</v>
      </c>
    </row>
    <row r="9" spans="1:10" x14ac:dyDescent="0.25">
      <c r="A9" t="str">
        <f t="shared" si="0"/>
        <v>1455-1</v>
      </c>
      <c r="B9">
        <f>COUNTIF($C$1:C9,C9)</f>
        <v>1</v>
      </c>
      <c r="C9">
        <v>1455</v>
      </c>
      <c r="D9" t="s">
        <v>24</v>
      </c>
      <c r="E9" s="3">
        <v>36525</v>
      </c>
      <c r="F9" t="s">
        <v>39</v>
      </c>
      <c r="G9" t="s">
        <v>11</v>
      </c>
      <c r="H9" t="str">
        <f>VLOOKUP(G9,listas!A:B,2,0)</f>
        <v>Teclado mecânico no padrão ABNT2, layout compacto (Tenkeyless), switches táteis, iluminação LED branca com intensidade ajustável e estrutura em alumínio. Compatível com Windows, Linux e macOS.</v>
      </c>
      <c r="I9" s="2">
        <f>VLOOKUP(G9,listas!A:C,3,0)</f>
        <v>349.9</v>
      </c>
      <c r="J9" t="str">
        <f>VLOOKUP(C9,ENTRADA!A:C,3,0)</f>
        <v>D-A05</v>
      </c>
    </row>
    <row r="10" spans="1:10" x14ac:dyDescent="0.25">
      <c r="A10" t="str">
        <f t="shared" si="0"/>
        <v>1788-1</v>
      </c>
      <c r="B10">
        <f>COUNTIF($C$1:C10,C10)</f>
        <v>1</v>
      </c>
      <c r="C10">
        <v>1788</v>
      </c>
      <c r="D10" t="s">
        <v>25</v>
      </c>
      <c r="E10" s="3">
        <v>36526</v>
      </c>
      <c r="F10" t="s">
        <v>38</v>
      </c>
      <c r="G10" t="s">
        <v>9</v>
      </c>
      <c r="H10" t="str">
        <f>VLOOKUP(G10,listas!A:B,2,0)</f>
        <v>Mouse óptico com sensor de alta precisão de até 12.000 DPI, iluminação RGB configurável, seis botões programáveis e cabo reforçado em nylon. Indicado para jogos e uso profissional. Garantia de 12 meses.</v>
      </c>
      <c r="I10" s="2">
        <f>VLOOKUP(G10,listas!A:C,3,0)</f>
        <v>189.9</v>
      </c>
      <c r="J10" t="str">
        <f>VLOOKUP(C10,ENTRADA!A:C,3,0)</f>
        <v>D-A06</v>
      </c>
    </row>
    <row r="11" spans="1:10" x14ac:dyDescent="0.25">
      <c r="A11" t="str">
        <f t="shared" si="0"/>
        <v>1788-2</v>
      </c>
      <c r="B11">
        <f>COUNTIF($C$1:C11,C11)</f>
        <v>2</v>
      </c>
      <c r="C11">
        <v>1788</v>
      </c>
      <c r="D11" t="s">
        <v>25</v>
      </c>
      <c r="E11" s="3">
        <v>36526</v>
      </c>
      <c r="F11" t="s">
        <v>38</v>
      </c>
      <c r="G11" t="s">
        <v>11</v>
      </c>
      <c r="H11" t="str">
        <f>VLOOKUP(G11,listas!A:B,2,0)</f>
        <v>Teclado mecânico no padrão ABNT2, layout compacto (Tenkeyless), switches táteis, iluminação LED branca com intensidade ajustável e estrutura em alumínio. Compatível com Windows, Linux e macOS.</v>
      </c>
      <c r="I11" s="2">
        <f>VLOOKUP(G11,listas!A:C,3,0)</f>
        <v>349.9</v>
      </c>
      <c r="J11" t="str">
        <f>VLOOKUP(C11,ENTRADA!A:C,3,0)</f>
        <v>D-A06</v>
      </c>
    </row>
    <row r="12" spans="1:10" x14ac:dyDescent="0.25">
      <c r="A12" t="str">
        <f t="shared" si="0"/>
        <v>1788-3</v>
      </c>
      <c r="B12">
        <f>COUNTIF($C$1:C12,C12)</f>
        <v>3</v>
      </c>
      <c r="C12">
        <v>1788</v>
      </c>
      <c r="D12" t="s">
        <v>25</v>
      </c>
      <c r="E12" s="3">
        <v>36526</v>
      </c>
      <c r="F12" t="s">
        <v>38</v>
      </c>
      <c r="G12" t="s">
        <v>13</v>
      </c>
      <c r="H12" t="str">
        <f>VLOOKUP(G12,listas!A:B,2,0)</f>
        <v>Monitor IPS Full HD de 27 polegadas com taxa de atualização de 75 Hz, tempo de resposta de 5 ms e entradas HDMI e DisplayPort. Possui tecnologia de redução de luz azul e ajuste de inclinação para maior conforto durante longos períodos de uso.</v>
      </c>
      <c r="I12" s="2">
        <f>VLOOKUP(G12,listas!A:C,3,0)</f>
        <v>1249.9000000000001</v>
      </c>
      <c r="J12" t="str">
        <f>VLOOKUP(C12,ENTRADA!A:C,3,0)</f>
        <v>D-A06</v>
      </c>
    </row>
    <row r="13" spans="1:10" x14ac:dyDescent="0.25">
      <c r="A13" t="str">
        <f t="shared" si="0"/>
        <v>1788-4</v>
      </c>
      <c r="B13">
        <f>COUNTIF($C$1:C13,C13)</f>
        <v>4</v>
      </c>
      <c r="C13">
        <v>1788</v>
      </c>
      <c r="D13" t="s">
        <v>25</v>
      </c>
      <c r="E13" s="3">
        <v>36526</v>
      </c>
      <c r="F13" t="s">
        <v>38</v>
      </c>
      <c r="G13" t="s">
        <v>15</v>
      </c>
      <c r="H13" t="str">
        <f>VLOOKUP(G13,listas!A:B,2,0)</f>
        <v>Unidade de armazenamento SSD NVMe PCIe 4.0 com capacidade de 1 TB, velocidades de leitura de até 7.000 MB/s e gravação de até 5.000 MB/s. Ideal para notebooks, desktops e estações de trabalho que exigem alto desempenho.</v>
      </c>
      <c r="I13" s="2">
        <f>VLOOKUP(G13,listas!A:C,3,0)</f>
        <v>599.9</v>
      </c>
      <c r="J13" t="str">
        <f>VLOOKUP(C13,ENTRADA!A:C,3,0)</f>
        <v>D-A06</v>
      </c>
    </row>
    <row r="14" spans="1:10" x14ac:dyDescent="0.25">
      <c r="A14" t="str">
        <f t="shared" si="0"/>
        <v>1788-5</v>
      </c>
      <c r="B14">
        <f>COUNTIF($C$1:C14,C14)</f>
        <v>5</v>
      </c>
      <c r="C14">
        <v>1788</v>
      </c>
      <c r="D14" t="s">
        <v>25</v>
      </c>
      <c r="E14" s="3">
        <v>36526</v>
      </c>
      <c r="F14" t="s">
        <v>38</v>
      </c>
      <c r="G14" t="s">
        <v>17</v>
      </c>
      <c r="H14" t="str">
        <f>VLOOKUP(G14,listas!A:B,2,0)</f>
        <v>Webcam USB com resolução Full HD (1080p), microfone integrado com redução de ruído, foco automático e tampa de privacidade. Recomendada para videoconferências, aulas online e transmissões ao vivo.</v>
      </c>
      <c r="I14" s="2">
        <f>VLOOKUP(G14,listas!A:C,3,0)</f>
        <v>279.89999999999998</v>
      </c>
      <c r="J14" t="str">
        <f>VLOOKUP(C14,ENTRADA!A:C,3,0)</f>
        <v>D-A06</v>
      </c>
    </row>
    <row r="15" spans="1:10" x14ac:dyDescent="0.25">
      <c r="A15" t="str">
        <f t="shared" si="0"/>
        <v>1788-6</v>
      </c>
      <c r="B15">
        <f>COUNTIF($C$1:C15,C15)</f>
        <v>6</v>
      </c>
      <c r="C15">
        <v>1788</v>
      </c>
      <c r="D15" t="s">
        <v>25</v>
      </c>
      <c r="E15" s="3">
        <v>36526</v>
      </c>
      <c r="F15" t="s">
        <v>38</v>
      </c>
      <c r="G15" t="s">
        <v>15</v>
      </c>
      <c r="H15" t="str">
        <f>VLOOKUP(G15,listas!A:B,2,0)</f>
        <v>Unidade de armazenamento SSD NVMe PCIe 4.0 com capacidade de 1 TB, velocidades de leitura de até 7.000 MB/s e gravação de até 5.000 MB/s. Ideal para notebooks, desktops e estações de trabalho que exigem alto desempenho.</v>
      </c>
      <c r="I15" s="2">
        <f>VLOOKUP(G15,listas!A:C,3,0)</f>
        <v>599.9</v>
      </c>
      <c r="J15" t="str">
        <f>VLOOKUP(C15,ENTRADA!A:C,3,0)</f>
        <v>D-A06</v>
      </c>
    </row>
    <row r="16" spans="1:10" x14ac:dyDescent="0.25">
      <c r="A16" t="str">
        <f t="shared" si="0"/>
        <v>2121-1</v>
      </c>
      <c r="B16">
        <f>COUNTIF($C$1:C16,C16)</f>
        <v>1</v>
      </c>
      <c r="C16">
        <v>2121</v>
      </c>
      <c r="D16" t="s">
        <v>26</v>
      </c>
      <c r="E16" s="3">
        <v>38410</v>
      </c>
      <c r="F16" t="s">
        <v>38</v>
      </c>
      <c r="G16" t="s">
        <v>9</v>
      </c>
      <c r="H16" t="str">
        <f>VLOOKUP(G16,listas!A:B,2,0)</f>
        <v>Mouse óptico com sensor de alta precisão de até 12.000 DPI, iluminação RGB configurável, seis botões programáveis e cabo reforçado em nylon. Indicado para jogos e uso profissional. Garantia de 12 meses.</v>
      </c>
      <c r="I16" s="2">
        <f>VLOOKUP(G16,listas!A:C,3,0)</f>
        <v>189.9</v>
      </c>
      <c r="J16" t="str">
        <f>VLOOKUP(C16,ENTRADA!A:C,3,0)</f>
        <v>D-A07</v>
      </c>
    </row>
    <row r="17" spans="1:10" x14ac:dyDescent="0.25">
      <c r="A17" t="str">
        <f t="shared" si="0"/>
        <v>2454-1</v>
      </c>
      <c r="B17">
        <f>COUNTIF($C$1:C17,C17)</f>
        <v>1</v>
      </c>
      <c r="C17">
        <v>2454</v>
      </c>
      <c r="D17" t="s">
        <v>27</v>
      </c>
      <c r="E17" s="3">
        <v>40294</v>
      </c>
      <c r="F17" t="s">
        <v>38</v>
      </c>
      <c r="G17" t="s">
        <v>11</v>
      </c>
      <c r="H17" t="str">
        <f>VLOOKUP(G17,listas!A:B,2,0)</f>
        <v>Teclado mecânico no padrão ABNT2, layout compacto (Tenkeyless), switches táteis, iluminação LED branca com intensidade ajustável e estrutura em alumínio. Compatível com Windows, Linux e macOS.</v>
      </c>
      <c r="I17" s="2">
        <f>VLOOKUP(G17,listas!A:C,3,0)</f>
        <v>349.9</v>
      </c>
      <c r="J17" t="str">
        <f>VLOOKUP(C17,ENTRADA!A:C,3,0)</f>
        <v>D-A08</v>
      </c>
    </row>
    <row r="18" spans="1:10" x14ac:dyDescent="0.25">
      <c r="A18" t="str">
        <f t="shared" si="0"/>
        <v>2787-1</v>
      </c>
      <c r="B18">
        <f>COUNTIF($C$1:C18,C18)</f>
        <v>1</v>
      </c>
      <c r="C18">
        <v>2787</v>
      </c>
      <c r="D18" t="s">
        <v>28</v>
      </c>
      <c r="E18" s="3">
        <v>42178</v>
      </c>
      <c r="F18" t="s">
        <v>38</v>
      </c>
      <c r="G18" t="s">
        <v>13</v>
      </c>
      <c r="H18" t="str">
        <f>VLOOKUP(G18,listas!A:B,2,0)</f>
        <v>Monitor IPS Full HD de 27 polegadas com taxa de atualização de 75 Hz, tempo de resposta de 5 ms e entradas HDMI e DisplayPort. Possui tecnologia de redução de luz azul e ajuste de inclinação para maior conforto durante longos períodos de uso.</v>
      </c>
      <c r="I18" s="2">
        <f>VLOOKUP(G18,listas!A:C,3,0)</f>
        <v>1249.9000000000001</v>
      </c>
      <c r="J18" t="str">
        <f>VLOOKUP(C18,ENTRADA!A:C,3,0)</f>
        <v>D-A09</v>
      </c>
    </row>
    <row r="19" spans="1:10" x14ac:dyDescent="0.25">
      <c r="A19" t="str">
        <f t="shared" si="0"/>
        <v>3120-1</v>
      </c>
      <c r="B19">
        <f>COUNTIF($C$1:C19,C19)</f>
        <v>1</v>
      </c>
      <c r="C19">
        <v>3120</v>
      </c>
      <c r="D19" t="s">
        <v>29</v>
      </c>
      <c r="E19" s="3">
        <v>37122</v>
      </c>
      <c r="F19" t="s">
        <v>38</v>
      </c>
      <c r="G19" t="s">
        <v>15</v>
      </c>
      <c r="H19" t="str">
        <f>VLOOKUP(G19,listas!A:B,2,0)</f>
        <v>Unidade de armazenamento SSD NVMe PCIe 4.0 com capacidade de 1 TB, velocidades de leitura de até 7.000 MB/s e gravação de até 5.000 MB/s. Ideal para notebooks, desktops e estações de trabalho que exigem alto desempenho.</v>
      </c>
      <c r="I19" s="2">
        <f>VLOOKUP(G19,listas!A:C,3,0)</f>
        <v>599.9</v>
      </c>
      <c r="J19" t="str">
        <f>VLOOKUP(C19,ENTRADA!A:C,3,0)</f>
        <v>D-A10</v>
      </c>
    </row>
    <row r="20" spans="1:10" x14ac:dyDescent="0.25">
      <c r="A20" t="str">
        <f t="shared" si="0"/>
        <v>3453-1</v>
      </c>
      <c r="B20">
        <f>COUNTIF($C$1:C20,C20)</f>
        <v>1</v>
      </c>
      <c r="C20">
        <v>3453</v>
      </c>
      <c r="D20" t="s">
        <v>30</v>
      </c>
      <c r="E20" s="3">
        <v>30240</v>
      </c>
      <c r="F20" t="s">
        <v>38</v>
      </c>
      <c r="G20" t="s">
        <v>17</v>
      </c>
      <c r="H20" t="str">
        <f>VLOOKUP(G20,listas!A:B,2,0)</f>
        <v>Webcam USB com resolução Full HD (1080p), microfone integrado com redução de ruído, foco automático e tampa de privacidade. Recomendada para videoconferências, aulas online e transmissões ao vivo.</v>
      </c>
      <c r="I20" s="2">
        <f>VLOOKUP(G20,listas!A:C,3,0)</f>
        <v>279.89999999999998</v>
      </c>
      <c r="J20" t="str">
        <f>VLOOKUP(C20,ENTRADA!A:C,3,0)</f>
        <v>D-A11</v>
      </c>
    </row>
    <row r="21" spans="1:10" x14ac:dyDescent="0.25">
      <c r="A21" t="str">
        <f t="shared" si="0"/>
        <v>3786-1</v>
      </c>
      <c r="B21">
        <f>COUNTIF($C$1:C21,C21)</f>
        <v>1</v>
      </c>
      <c r="C21">
        <v>3786</v>
      </c>
      <c r="D21" t="s">
        <v>31</v>
      </c>
      <c r="E21" s="3">
        <v>39429</v>
      </c>
      <c r="F21" t="s">
        <v>38</v>
      </c>
      <c r="G21" t="s">
        <v>17</v>
      </c>
      <c r="H21" t="str">
        <f>VLOOKUP(G21,listas!A:B,2,0)</f>
        <v>Webcam USB com resolução Full HD (1080p), microfone integrado com redução de ruído, foco automático e tampa de privacidade. Recomendada para videoconferências, aulas online e transmissões ao vivo.</v>
      </c>
      <c r="I21" s="2">
        <f>VLOOKUP(G21,listas!A:C,3,0)</f>
        <v>279.89999999999998</v>
      </c>
      <c r="J21" t="str">
        <f>VLOOKUP(C21,ENTRADA!A:C,3,0)</f>
        <v>D-A12</v>
      </c>
    </row>
    <row r="22" spans="1:10" x14ac:dyDescent="0.25">
      <c r="A22" t="str">
        <f t="shared" si="0"/>
        <v>4119-1</v>
      </c>
      <c r="B22">
        <f>COUNTIF($C$1:C22,C22)</f>
        <v>1</v>
      </c>
      <c r="C22">
        <v>4119</v>
      </c>
      <c r="D22" t="s">
        <v>32</v>
      </c>
      <c r="E22" s="3">
        <v>38757</v>
      </c>
      <c r="F22" t="s">
        <v>38</v>
      </c>
      <c r="G22" t="s">
        <v>15</v>
      </c>
      <c r="H22" t="str">
        <f>VLOOKUP(G22,listas!A:B,2,0)</f>
        <v>Unidade de armazenamento SSD NVMe PCIe 4.0 com capacidade de 1 TB, velocidades de leitura de até 7.000 MB/s e gravação de até 5.000 MB/s. Ideal para notebooks, desktops e estações de trabalho que exigem alto desempenho.</v>
      </c>
      <c r="I22" s="2">
        <f>VLOOKUP(G22,listas!A:C,3,0)</f>
        <v>599.9</v>
      </c>
      <c r="J22" t="str">
        <f>VLOOKUP(C22,ENTRADA!A:C,3,0)</f>
        <v>D-A13</v>
      </c>
    </row>
    <row r="23" spans="1:10" x14ac:dyDescent="0.25">
      <c r="A23" t="str">
        <f t="shared" si="0"/>
        <v>4452-1</v>
      </c>
      <c r="B23">
        <f>COUNTIF($C$1:C23,C23)</f>
        <v>1</v>
      </c>
      <c r="C23">
        <v>4452</v>
      </c>
      <c r="D23" t="s">
        <v>33</v>
      </c>
      <c r="E23" s="3">
        <v>40640</v>
      </c>
      <c r="F23" t="s">
        <v>38</v>
      </c>
      <c r="G23" t="s">
        <v>13</v>
      </c>
      <c r="H23" t="str">
        <f>VLOOKUP(G23,listas!A:B,2,0)</f>
        <v>Monitor IPS Full HD de 27 polegadas com taxa de atualização de 75 Hz, tempo de resposta de 5 ms e entradas HDMI e DisplayPort. Possui tecnologia de redução de luz azul e ajuste de inclinação para maior conforto durante longos períodos de uso.</v>
      </c>
      <c r="I23" s="2">
        <f>VLOOKUP(G23,listas!A:C,3,0)</f>
        <v>1249.9000000000001</v>
      </c>
      <c r="J23" t="str">
        <f>VLOOKUP(C23,ENTRADA!A:C,3,0)</f>
        <v>D-A14</v>
      </c>
    </row>
    <row r="24" spans="1:10" x14ac:dyDescent="0.25">
      <c r="A24" t="str">
        <f t="shared" si="0"/>
        <v>4785-1</v>
      </c>
      <c r="B24">
        <f>COUNTIF($C$1:C24,C24)</f>
        <v>1</v>
      </c>
      <c r="C24">
        <v>4785</v>
      </c>
      <c r="D24" t="s">
        <v>34</v>
      </c>
      <c r="E24" s="3">
        <v>53482</v>
      </c>
      <c r="F24" t="s">
        <v>38</v>
      </c>
      <c r="G24" t="s">
        <v>11</v>
      </c>
      <c r="H24" t="str">
        <f>VLOOKUP(G24,listas!A:B,2,0)</f>
        <v>Teclado mecânico no padrão ABNT2, layout compacto (Tenkeyless), switches táteis, iluminação LED branca com intensidade ajustável e estrutura em alumínio. Compatível com Windows, Linux e macOS.</v>
      </c>
      <c r="I24" s="2">
        <f>VLOOKUP(G24,listas!A:C,3,0)</f>
        <v>349.9</v>
      </c>
      <c r="J24" t="str">
        <f>VLOOKUP(C24,ENTRADA!A:C,3,0)</f>
        <v>D-A15</v>
      </c>
    </row>
    <row r="25" spans="1:10" x14ac:dyDescent="0.25">
      <c r="A25" t="str">
        <f t="shared" si="0"/>
        <v>5118-1</v>
      </c>
      <c r="B25">
        <f>COUNTIF($C$1:C25,C25)</f>
        <v>1</v>
      </c>
      <c r="C25">
        <v>5118</v>
      </c>
      <c r="D25" t="s">
        <v>35</v>
      </c>
      <c r="E25" s="3">
        <v>34912</v>
      </c>
      <c r="F25" t="s">
        <v>38</v>
      </c>
      <c r="G25" t="s">
        <v>9</v>
      </c>
      <c r="H25" t="str">
        <f>VLOOKUP(G25,listas!A:B,2,0)</f>
        <v>Mouse óptico com sensor de alta precisão de até 12.000 DPI, iluminação RGB configurável, seis botões programáveis e cabo reforçado em nylon. Indicado para jogos e uso profissional. Garantia de 12 meses.</v>
      </c>
      <c r="I25" s="2">
        <f>VLOOKUP(G25,listas!A:C,3,0)</f>
        <v>189.9</v>
      </c>
      <c r="J25" t="str">
        <f>VLOOKUP(C25,ENTRADA!A:C,3,0)</f>
        <v>D-A16</v>
      </c>
    </row>
    <row r="26" spans="1:10" x14ac:dyDescent="0.25">
      <c r="A26" t="str">
        <f t="shared" si="0"/>
        <v>5451-1</v>
      </c>
      <c r="B26">
        <f>COUNTIF($C$1:C26,C26)</f>
        <v>1</v>
      </c>
      <c r="C26">
        <v>5451</v>
      </c>
      <c r="D26" t="s">
        <v>36</v>
      </c>
      <c r="E26" s="3">
        <v>31682</v>
      </c>
      <c r="F26" t="s">
        <v>38</v>
      </c>
      <c r="G26" t="s">
        <v>11</v>
      </c>
      <c r="H26" t="str">
        <f>VLOOKUP(G26,listas!A:B,2,0)</f>
        <v>Teclado mecânico no padrão ABNT2, layout compacto (Tenkeyless), switches táteis, iluminação LED branca com intensidade ajustável e estrutura em alumínio. Compatível com Windows, Linux e macOS.</v>
      </c>
      <c r="I26" s="2">
        <f>VLOOKUP(G26,listas!A:C,3,0)</f>
        <v>349.9</v>
      </c>
      <c r="J26" t="str">
        <f>VLOOKUP(C26,ENTRADA!A:C,3,0)</f>
        <v>D-A17</v>
      </c>
    </row>
    <row r="27" spans="1:10" x14ac:dyDescent="0.25">
      <c r="A27" t="str">
        <f t="shared" si="0"/>
        <v>5784-1</v>
      </c>
      <c r="B27">
        <f>COUNTIF($C$1:C27,C27)</f>
        <v>1</v>
      </c>
      <c r="C27">
        <v>5784</v>
      </c>
      <c r="D27" t="s">
        <v>37</v>
      </c>
      <c r="E27" s="3">
        <v>29914</v>
      </c>
      <c r="F27" t="s">
        <v>38</v>
      </c>
      <c r="G27" t="s">
        <v>15</v>
      </c>
      <c r="H27" t="str">
        <f>VLOOKUP(G27,listas!A:B,2,0)</f>
        <v>Unidade de armazenamento SSD NVMe PCIe 4.0 com capacidade de 1 TB, velocidades de leitura de até 7.000 MB/s e gravação de até 5.000 MB/s. Ideal para notebooks, desktops e estações de trabalho que exigem alto desempenho.</v>
      </c>
      <c r="I27" s="2">
        <f>VLOOKUP(G27,listas!A:C,3,0)</f>
        <v>599.9</v>
      </c>
      <c r="J27" t="str">
        <f>VLOOKUP(C27,ENTRADA!A:C,3,0)</f>
        <v>D-A18</v>
      </c>
    </row>
  </sheetData>
  <phoneticPr fontId="2" type="noConversion"/>
  <pageMargins left="0.511811024" right="0.511811024" top="0.78740157499999996" bottom="0.78740157499999996" header="0.31496062000000002" footer="0.3149606200000000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73C79F9-2D2F-478F-8317-43B540641F19}">
          <x14:formula1>
            <xm:f>listas!$A$2:$A$6</xm:f>
          </x14:formula1>
          <xm:sqref>G2:G27</xm:sqref>
        </x14:dataValidation>
        <x14:dataValidation type="list" allowBlank="1" showInputMessage="1" showErrorMessage="1" xr:uid="{85A71484-8371-4ADA-9793-242259A9E4E5}">
          <x14:formula1>
            <xm:f>listas!$A$9:$A$10</xm:f>
          </x14:formula1>
          <xm:sqref>F2:F27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59D4A-E45C-4B9E-B283-A1E3F1811CCB}">
  <sheetPr codeName="Planilha4"/>
  <dimension ref="A1:K16"/>
  <sheetViews>
    <sheetView topLeftCell="A3" workbookViewId="0">
      <selection activeCell="B9" sqref="B9"/>
    </sheetView>
  </sheetViews>
  <sheetFormatPr defaultRowHeight="15" x14ac:dyDescent="0.25"/>
  <cols>
    <col min="1" max="1" width="9.7109375" bestFit="1" customWidth="1"/>
    <col min="2" max="2" width="83.28515625" customWidth="1"/>
    <col min="3" max="3" width="10.7109375" bestFit="1" customWidth="1"/>
  </cols>
  <sheetData>
    <row r="1" spans="1:11" x14ac:dyDescent="0.25">
      <c r="A1" t="s">
        <v>6</v>
      </c>
      <c r="B1" t="s">
        <v>8</v>
      </c>
      <c r="C1" t="s">
        <v>19</v>
      </c>
    </row>
    <row r="2" spans="1:11" ht="45" x14ac:dyDescent="0.25">
      <c r="A2" s="1" t="s">
        <v>9</v>
      </c>
      <c r="B2" s="1" t="s">
        <v>10</v>
      </c>
      <c r="C2" s="2">
        <v>189.9</v>
      </c>
    </row>
    <row r="3" spans="1:11" ht="45" x14ac:dyDescent="0.25">
      <c r="A3" s="1" t="s">
        <v>11</v>
      </c>
      <c r="B3" s="1" t="s">
        <v>12</v>
      </c>
      <c r="C3" s="2">
        <v>349.9</v>
      </c>
    </row>
    <row r="4" spans="1:11" ht="45" x14ac:dyDescent="0.25">
      <c r="A4" s="1" t="s">
        <v>13</v>
      </c>
      <c r="B4" s="1" t="s">
        <v>14</v>
      </c>
      <c r="C4" s="2">
        <v>1249.9000000000001</v>
      </c>
    </row>
    <row r="5" spans="1:11" ht="45" x14ac:dyDescent="0.25">
      <c r="A5" s="1" t="s">
        <v>15</v>
      </c>
      <c r="B5" s="1" t="s">
        <v>16</v>
      </c>
      <c r="C5" s="2">
        <v>599.9</v>
      </c>
    </row>
    <row r="6" spans="1:11" ht="45" x14ac:dyDescent="0.25">
      <c r="A6" s="1" t="s">
        <v>17</v>
      </c>
      <c r="B6" s="1" t="s">
        <v>18</v>
      </c>
      <c r="C6" s="2">
        <v>279.89999999999998</v>
      </c>
    </row>
    <row r="8" spans="1:11" x14ac:dyDescent="0.25">
      <c r="A8" s="1" t="s">
        <v>5</v>
      </c>
    </row>
    <row r="9" spans="1:11" x14ac:dyDescent="0.25">
      <c r="A9" s="1" t="s">
        <v>38</v>
      </c>
      <c r="B9" s="1" t="s">
        <v>64</v>
      </c>
    </row>
    <row r="10" spans="1:11" ht="30" x14ac:dyDescent="0.25">
      <c r="A10" s="1" t="s">
        <v>39</v>
      </c>
      <c r="B10" s="1" t="s">
        <v>65</v>
      </c>
    </row>
    <row r="13" spans="1:11" x14ac:dyDescent="0.25">
      <c r="K13" s="1"/>
    </row>
    <row r="14" spans="1:11" x14ac:dyDescent="0.25">
      <c r="K14" s="1"/>
    </row>
    <row r="15" spans="1:11" x14ac:dyDescent="0.25">
      <c r="K15" s="1"/>
    </row>
    <row r="16" spans="1:11" x14ac:dyDescent="0.25">
      <c r="K16" s="1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9CF69-B79C-4D6E-BF58-525F6A3E56BF}">
  <sheetPr codeName="Planilha5"/>
  <dimension ref="A2:J13"/>
  <sheetViews>
    <sheetView tabSelected="1" workbookViewId="0">
      <selection activeCell="H8" sqref="H8"/>
    </sheetView>
  </sheetViews>
  <sheetFormatPr defaultRowHeight="15" x14ac:dyDescent="0.25"/>
  <cols>
    <col min="2" max="2" width="11.5703125" bestFit="1" customWidth="1"/>
    <col min="3" max="3" width="10" bestFit="1" customWidth="1"/>
    <col min="5" max="5" width="15.5703125" customWidth="1"/>
    <col min="6" max="6" width="10.42578125" bestFit="1" customWidth="1"/>
    <col min="7" max="7" width="11.5703125" bestFit="1" customWidth="1"/>
    <col min="8" max="8" width="20.7109375" bestFit="1" customWidth="1"/>
    <col min="9" max="9" width="27" customWidth="1"/>
  </cols>
  <sheetData>
    <row r="2" spans="1:10" x14ac:dyDescent="0.25">
      <c r="B2" s="7" t="s">
        <v>40</v>
      </c>
      <c r="C2">
        <v>5784</v>
      </c>
    </row>
    <row r="3" spans="1:10" x14ac:dyDescent="0.25">
      <c r="A3" s="8" t="s">
        <v>0</v>
      </c>
      <c r="B3" s="8" t="s">
        <v>1</v>
      </c>
      <c r="C3" s="8" t="s">
        <v>43</v>
      </c>
      <c r="D3" s="8" t="s">
        <v>2</v>
      </c>
      <c r="E3" s="8" t="s">
        <v>3</v>
      </c>
      <c r="F3" s="8" t="s">
        <v>44</v>
      </c>
      <c r="G3" s="8" t="s">
        <v>5</v>
      </c>
      <c r="H3" s="8" t="s">
        <v>6</v>
      </c>
      <c r="I3" s="8" t="s">
        <v>8</v>
      </c>
      <c r="J3" s="8" t="s">
        <v>7</v>
      </c>
    </row>
    <row r="4" spans="1:10" x14ac:dyDescent="0.25">
      <c r="A4" t="str">
        <f>C$2&amp;"-"&amp;B4</f>
        <v>5784-1</v>
      </c>
      <c r="B4">
        <v>1</v>
      </c>
      <c r="C4" t="str">
        <f>IFERROR(IF(VLOOKUP($A4,DADOS!$A:$J,10,0)="","",VLOOKUP($A4,DADOS!$A:$J,10,0)),"")</f>
        <v>D-A18</v>
      </c>
      <c r="D4">
        <f>IFERROR(IF(VLOOKUP($A4,DADOS!$A:$I,3,0)="","",VLOOKUP($A4,DADOS!$A:$I,3,0)),"")</f>
        <v>5784</v>
      </c>
      <c r="E4" t="str">
        <f>IFERROR(IF(VLOOKUP($A4,DADOS!$A:$I,4,0)="","",VLOOKUP($A4,DADOS!$A:$I,4,0)),"")</f>
        <v>FULANO 23</v>
      </c>
      <c r="F4" s="3">
        <f>IFERROR(IF(VLOOKUP($A4,DADOS!$A:$I,5,0)="","",VLOOKUP($A4,DADOS!$A:$I,5,0)),"")</f>
        <v>29914</v>
      </c>
      <c r="G4" t="str">
        <f>IFERROR(IF(VLOOKUP($A4,DADOS!$A:$I,6,0)="","",VLOOKUP($A4,DADOS!$A:$I,6,0)),"")</f>
        <v>ATIVO</v>
      </c>
      <c r="H4" t="str">
        <f>IFERROR(IF(VLOOKUP($A4,DADOS!$A:$I,7,0)="","",VLOOKUP($A4,DADOS!$A:$I,7,0)),"")</f>
        <v>SSD NVMe 1 TB</v>
      </c>
      <c r="I4" t="str">
        <f>IFERROR(IF(VLOOKUP($A4,DADOS!$A:$I,8,0)="","",VLOOKUP($A4,DADOS!$A:$I,8,0)),"")</f>
        <v>Unidade de armazenamento SSD NVMe PCIe 4.0 com capacidade de 1 TB, velocidades de leitura de até 7.000 MB/s e gravação de até 5.000 MB/s. Ideal para notebooks, desktops e estações de trabalho que exigem alto desempenho.</v>
      </c>
      <c r="J4">
        <f>IFERROR(IF(VLOOKUP($A4,DADOS!$A:$I,9,0)="","",VLOOKUP($A4,DADOS!$A:$I,9,0)),"")</f>
        <v>599.9</v>
      </c>
    </row>
    <row r="5" spans="1:10" x14ac:dyDescent="0.25">
      <c r="A5" t="str">
        <f t="shared" ref="A5:A13" si="0">C$2&amp;"-"&amp;B5</f>
        <v>5784-2</v>
      </c>
      <c r="B5">
        <v>2</v>
      </c>
      <c r="C5" t="str">
        <f>IFERROR(IF(VLOOKUP($A5,DADOS!$A:$J,10,0)="","",VLOOKUP($A5,DADOS!$A:$J,10,0)),"")</f>
        <v/>
      </c>
      <c r="D5" t="str">
        <f>IFERROR(IF(VLOOKUP($A5,DADOS!$A:$I,3,0)="","",VLOOKUP($A5,DADOS!$A:$I,3,0)),"")</f>
        <v/>
      </c>
      <c r="E5" t="str">
        <f>IFERROR(IF(VLOOKUP($A5,DADOS!$A:$I,4,0)="","",VLOOKUP($A5,DADOS!$A:$I,4,0)),"")</f>
        <v/>
      </c>
      <c r="F5" s="3" t="str">
        <f>IFERROR(IF(VLOOKUP($A5,DADOS!$A:$I,5,0)="","",VLOOKUP($A5,DADOS!$A:$I,5,0)),"")</f>
        <v/>
      </c>
      <c r="G5" t="str">
        <f>IFERROR(IF(VLOOKUP($A5,DADOS!$A:$I,6,0)="","",VLOOKUP($A5,DADOS!$A:$I,6,0)),"")</f>
        <v/>
      </c>
      <c r="H5" t="str">
        <f>IFERROR(IF(VLOOKUP($A5,DADOS!$A:$I,7,0)="","",VLOOKUP($A5,DADOS!$A:$I,7,0)),"")</f>
        <v/>
      </c>
      <c r="I5" t="str">
        <f>IFERROR(IF(VLOOKUP($A5,DADOS!$A:$I,8,0)="","",VLOOKUP($A5,DADOS!$A:$I,8,0)),"")</f>
        <v/>
      </c>
      <c r="J5" t="str">
        <f>IFERROR(IF(VLOOKUP($A5,DADOS!$A:$I,9,0)="","",VLOOKUP($A5,DADOS!$A:$I,9,0)),"")</f>
        <v/>
      </c>
    </row>
    <row r="6" spans="1:10" x14ac:dyDescent="0.25">
      <c r="A6" t="str">
        <f t="shared" si="0"/>
        <v>5784-3</v>
      </c>
      <c r="B6">
        <v>3</v>
      </c>
      <c r="C6" t="str">
        <f>IFERROR(IF(VLOOKUP($A6,DADOS!$A:$J,10,0)="","",VLOOKUP($A6,DADOS!$A:$J,10,0)),"")</f>
        <v/>
      </c>
      <c r="D6" t="str">
        <f>IFERROR(IF(VLOOKUP($A6,DADOS!$A:$I,3,0)="","",VLOOKUP($A6,DADOS!$A:$I,3,0)),"")</f>
        <v/>
      </c>
      <c r="E6" t="str">
        <f>IFERROR(IF(VLOOKUP($A6,DADOS!$A:$I,4,0)="","",VLOOKUP($A6,DADOS!$A:$I,4,0)),"")</f>
        <v/>
      </c>
      <c r="F6" s="3" t="str">
        <f>IFERROR(IF(VLOOKUP($A6,DADOS!$A:$I,5,0)="","",VLOOKUP($A6,DADOS!$A:$I,5,0)),"")</f>
        <v/>
      </c>
      <c r="G6" t="str">
        <f>IFERROR(IF(VLOOKUP($A6,DADOS!$A:$I,6,0)="","",VLOOKUP($A6,DADOS!$A:$I,6,0)),"")</f>
        <v/>
      </c>
      <c r="H6" t="str">
        <f>IFERROR(IF(VLOOKUP($A6,DADOS!$A:$I,7,0)="","",VLOOKUP($A6,DADOS!$A:$I,7,0)),"")</f>
        <v/>
      </c>
      <c r="I6" t="str">
        <f>IFERROR(IF(VLOOKUP($A6,DADOS!$A:$I,8,0)="","",VLOOKUP($A6,DADOS!$A:$I,8,0)),"")</f>
        <v/>
      </c>
      <c r="J6" t="str">
        <f>IFERROR(IF(VLOOKUP($A6,DADOS!$A:$I,9,0)="","",VLOOKUP($A6,DADOS!$A:$I,9,0)),"")</f>
        <v/>
      </c>
    </row>
    <row r="7" spans="1:10" x14ac:dyDescent="0.25">
      <c r="A7" t="str">
        <f t="shared" si="0"/>
        <v>5784-4</v>
      </c>
      <c r="B7">
        <v>4</v>
      </c>
      <c r="C7" t="str">
        <f>IFERROR(IF(VLOOKUP($A7,DADOS!$A:$J,10,0)="","",VLOOKUP($A7,DADOS!$A:$J,10,0)),"")</f>
        <v/>
      </c>
      <c r="D7" t="str">
        <f>IFERROR(IF(VLOOKUP($A7,DADOS!$A:$I,3,0)="","",VLOOKUP($A7,DADOS!$A:$I,3,0)),"")</f>
        <v/>
      </c>
      <c r="E7" t="str">
        <f>IFERROR(IF(VLOOKUP($A7,DADOS!$A:$I,4,0)="","",VLOOKUP($A7,DADOS!$A:$I,4,0)),"")</f>
        <v/>
      </c>
      <c r="F7" s="3" t="str">
        <f>IFERROR(IF(VLOOKUP($A7,DADOS!$A:$I,5,0)="","",VLOOKUP($A7,DADOS!$A:$I,5,0)),"")</f>
        <v/>
      </c>
      <c r="G7" t="str">
        <f>IFERROR(IF(VLOOKUP($A7,DADOS!$A:$I,6,0)="","",VLOOKUP($A7,DADOS!$A:$I,6,0)),"")</f>
        <v/>
      </c>
      <c r="H7" t="str">
        <f>IFERROR(IF(VLOOKUP($A7,DADOS!$A:$I,7,0)="","",VLOOKUP($A7,DADOS!$A:$I,7,0)),"")</f>
        <v/>
      </c>
      <c r="I7" t="str">
        <f>IFERROR(IF(VLOOKUP($A7,DADOS!$A:$I,8,0)="","",VLOOKUP($A7,DADOS!$A:$I,8,0)),"")</f>
        <v/>
      </c>
      <c r="J7" t="str">
        <f>IFERROR(IF(VLOOKUP($A7,DADOS!$A:$I,9,0)="","",VLOOKUP($A7,DADOS!$A:$I,9,0)),"")</f>
        <v/>
      </c>
    </row>
    <row r="8" spans="1:10" x14ac:dyDescent="0.25">
      <c r="A8" t="str">
        <f t="shared" si="0"/>
        <v>5784-5</v>
      </c>
      <c r="B8">
        <v>5</v>
      </c>
      <c r="C8" t="str">
        <f>IFERROR(IF(VLOOKUP($A8,DADOS!$A:$J,10,0)="","",VLOOKUP($A8,DADOS!$A:$J,10,0)),"")</f>
        <v/>
      </c>
      <c r="D8" t="str">
        <f>IFERROR(IF(VLOOKUP($A8,DADOS!$A:$I,3,0)="","",VLOOKUP($A8,DADOS!$A:$I,3,0)),"")</f>
        <v/>
      </c>
      <c r="E8" t="str">
        <f>IFERROR(IF(VLOOKUP($A8,DADOS!$A:$I,4,0)="","",VLOOKUP($A8,DADOS!$A:$I,4,0)),"")</f>
        <v/>
      </c>
      <c r="F8" s="3" t="str">
        <f>IFERROR(IF(VLOOKUP($A8,DADOS!$A:$I,5,0)="","",VLOOKUP($A8,DADOS!$A:$I,5,0)),"")</f>
        <v/>
      </c>
      <c r="G8" t="str">
        <f>IFERROR(IF(VLOOKUP($A8,DADOS!$A:$I,6,0)="","",VLOOKUP($A8,DADOS!$A:$I,6,0)),"")</f>
        <v/>
      </c>
      <c r="H8" t="str">
        <f>IFERROR(IF(VLOOKUP($A8,DADOS!$A:$I,7,0)="","",VLOOKUP($A8,DADOS!$A:$I,7,0)),"")</f>
        <v/>
      </c>
      <c r="I8" t="str">
        <f>IFERROR(IF(VLOOKUP($A8,DADOS!$A:$I,8,0)="","",VLOOKUP($A8,DADOS!$A:$I,8,0)),"")</f>
        <v/>
      </c>
      <c r="J8" t="str">
        <f>IFERROR(IF(VLOOKUP($A8,DADOS!$A:$I,9,0)="","",VLOOKUP($A8,DADOS!$A:$I,9,0)),"")</f>
        <v/>
      </c>
    </row>
    <row r="9" spans="1:10" x14ac:dyDescent="0.25">
      <c r="A9" t="str">
        <f t="shared" si="0"/>
        <v>5784-6</v>
      </c>
      <c r="B9">
        <v>6</v>
      </c>
      <c r="C9" t="str">
        <f>IFERROR(IF(VLOOKUP($A9,DADOS!$A:$J,10,0)="","",VLOOKUP($A9,DADOS!$A:$J,10,0)),"")</f>
        <v/>
      </c>
      <c r="D9" t="str">
        <f>IFERROR(IF(VLOOKUP($A9,DADOS!$A:$I,3,0)="","",VLOOKUP($A9,DADOS!$A:$I,3,0)),"")</f>
        <v/>
      </c>
      <c r="E9" t="str">
        <f>IFERROR(IF(VLOOKUP($A9,DADOS!$A:$I,4,0)="","",VLOOKUP($A9,DADOS!$A:$I,4,0)),"")</f>
        <v/>
      </c>
      <c r="F9" s="3" t="str">
        <f>IFERROR(IF(VLOOKUP($A9,DADOS!$A:$I,5,0)="","",VLOOKUP($A9,DADOS!$A:$I,5,0)),"")</f>
        <v/>
      </c>
      <c r="G9" t="str">
        <f>IFERROR(IF(VLOOKUP($A9,DADOS!$A:$I,6,0)="","",VLOOKUP($A9,DADOS!$A:$I,6,0)),"")</f>
        <v/>
      </c>
      <c r="H9" t="str">
        <f>IFERROR(IF(VLOOKUP($A9,DADOS!$A:$I,7,0)="","",VLOOKUP($A9,DADOS!$A:$I,7,0)),"")</f>
        <v/>
      </c>
      <c r="I9" t="str">
        <f>IFERROR(IF(VLOOKUP($A9,DADOS!$A:$I,8,0)="","",VLOOKUP($A9,DADOS!$A:$I,8,0)),"")</f>
        <v/>
      </c>
      <c r="J9" t="str">
        <f>IFERROR(IF(VLOOKUP($A9,DADOS!$A:$I,9,0)="","",VLOOKUP($A9,DADOS!$A:$I,9,0)),"")</f>
        <v/>
      </c>
    </row>
    <row r="10" spans="1:10" x14ac:dyDescent="0.25">
      <c r="A10" t="str">
        <f t="shared" si="0"/>
        <v>5784-7</v>
      </c>
      <c r="B10">
        <v>7</v>
      </c>
      <c r="C10" t="str">
        <f>IFERROR(IF(VLOOKUP($A10,DADOS!$A:$J,10,0)="","",VLOOKUP($A10,DADOS!$A:$J,10,0)),"")</f>
        <v/>
      </c>
      <c r="D10" t="str">
        <f>IFERROR(IF(VLOOKUP($A10,DADOS!$A:$I,3,0)="","",VLOOKUP($A10,DADOS!$A:$I,3,0)),"")</f>
        <v/>
      </c>
      <c r="E10" t="str">
        <f>IFERROR(IF(VLOOKUP($A10,DADOS!$A:$I,4,0)="","",VLOOKUP($A10,DADOS!$A:$I,4,0)),"")</f>
        <v/>
      </c>
      <c r="F10" s="3" t="str">
        <f>IFERROR(IF(VLOOKUP($A10,DADOS!$A:$I,5,0)="","",VLOOKUP($A10,DADOS!$A:$I,5,0)),"")</f>
        <v/>
      </c>
      <c r="G10" t="str">
        <f>IFERROR(IF(VLOOKUP($A10,DADOS!$A:$I,6,0)="","",VLOOKUP($A10,DADOS!$A:$I,6,0)),"")</f>
        <v/>
      </c>
      <c r="H10" t="str">
        <f>IFERROR(IF(VLOOKUP($A10,DADOS!$A:$I,7,0)="","",VLOOKUP($A10,DADOS!$A:$I,7,0)),"")</f>
        <v/>
      </c>
      <c r="I10" t="str">
        <f>IFERROR(IF(VLOOKUP($A10,DADOS!$A:$I,8,0)="","",VLOOKUP($A10,DADOS!$A:$I,8,0)),"")</f>
        <v/>
      </c>
      <c r="J10" t="str">
        <f>IFERROR(IF(VLOOKUP($A10,DADOS!$A:$I,9,0)="","",VLOOKUP($A10,DADOS!$A:$I,9,0)),"")</f>
        <v/>
      </c>
    </row>
    <row r="11" spans="1:10" x14ac:dyDescent="0.25">
      <c r="A11" t="str">
        <f t="shared" si="0"/>
        <v>5784-8</v>
      </c>
      <c r="B11">
        <v>8</v>
      </c>
      <c r="C11" t="str">
        <f>IFERROR(IF(VLOOKUP($A11,DADOS!$A:$J,10,0)="","",VLOOKUP($A11,DADOS!$A:$J,10,0)),"")</f>
        <v/>
      </c>
      <c r="D11" t="str">
        <f>IFERROR(IF(VLOOKUP($A11,DADOS!$A:$I,3,0)="","",VLOOKUP($A11,DADOS!$A:$I,3,0)),"")</f>
        <v/>
      </c>
      <c r="E11" t="str">
        <f>IFERROR(IF(VLOOKUP($A11,DADOS!$A:$I,4,0)="","",VLOOKUP($A11,DADOS!$A:$I,4,0)),"")</f>
        <v/>
      </c>
      <c r="F11" s="3" t="str">
        <f>IFERROR(IF(VLOOKUP($A11,DADOS!$A:$I,5,0)="","",VLOOKUP($A11,DADOS!$A:$I,5,0)),"")</f>
        <v/>
      </c>
      <c r="G11" t="str">
        <f>IFERROR(IF(VLOOKUP($A11,DADOS!$A:$I,6,0)="","",VLOOKUP($A11,DADOS!$A:$I,6,0)),"")</f>
        <v/>
      </c>
      <c r="H11" t="str">
        <f>IFERROR(IF(VLOOKUP($A11,DADOS!$A:$I,7,0)="","",VLOOKUP($A11,DADOS!$A:$I,7,0)),"")</f>
        <v/>
      </c>
      <c r="I11" t="str">
        <f>IFERROR(IF(VLOOKUP($A11,DADOS!$A:$I,8,0)="","",VLOOKUP($A11,DADOS!$A:$I,8,0)),"")</f>
        <v/>
      </c>
      <c r="J11" t="str">
        <f>IFERROR(IF(VLOOKUP($A11,DADOS!$A:$I,9,0)="","",VLOOKUP($A11,DADOS!$A:$I,9,0)),"")</f>
        <v/>
      </c>
    </row>
    <row r="12" spans="1:10" x14ac:dyDescent="0.25">
      <c r="A12" t="str">
        <f t="shared" si="0"/>
        <v>5784-9</v>
      </c>
      <c r="B12">
        <v>9</v>
      </c>
      <c r="C12" t="str">
        <f>IFERROR(IF(VLOOKUP($A12,DADOS!$A:$J,10,0)="","",VLOOKUP($A12,DADOS!$A:$J,10,0)),"")</f>
        <v/>
      </c>
      <c r="D12" t="str">
        <f>IFERROR(IF(VLOOKUP($A12,DADOS!$A:$I,3,0)="","",VLOOKUP($A12,DADOS!$A:$I,3,0)),"")</f>
        <v/>
      </c>
      <c r="E12" t="str">
        <f>IFERROR(IF(VLOOKUP($A12,DADOS!$A:$I,4,0)="","",VLOOKUP($A12,DADOS!$A:$I,4,0)),"")</f>
        <v/>
      </c>
      <c r="F12" s="3" t="str">
        <f>IFERROR(IF(VLOOKUP($A12,DADOS!$A:$I,5,0)="","",VLOOKUP($A12,DADOS!$A:$I,5,0)),"")</f>
        <v/>
      </c>
      <c r="G12" t="str">
        <f>IFERROR(IF(VLOOKUP($A12,DADOS!$A:$I,6,0)="","",VLOOKUP($A12,DADOS!$A:$I,6,0)),"")</f>
        <v/>
      </c>
      <c r="H12" t="str">
        <f>IFERROR(IF(VLOOKUP($A12,DADOS!$A:$I,7,0)="","",VLOOKUP($A12,DADOS!$A:$I,7,0)),"")</f>
        <v/>
      </c>
      <c r="I12" t="str">
        <f>IFERROR(IF(VLOOKUP($A12,DADOS!$A:$I,8,0)="","",VLOOKUP($A12,DADOS!$A:$I,8,0)),"")</f>
        <v/>
      </c>
      <c r="J12" t="str">
        <f>IFERROR(IF(VLOOKUP($A12,DADOS!$A:$I,9,0)="","",VLOOKUP($A12,DADOS!$A:$I,9,0)),"")</f>
        <v/>
      </c>
    </row>
    <row r="13" spans="1:10" x14ac:dyDescent="0.25">
      <c r="A13" t="str">
        <f t="shared" si="0"/>
        <v>5784-10</v>
      </c>
      <c r="B13">
        <v>10</v>
      </c>
      <c r="C13" t="str">
        <f>IFERROR(IF(VLOOKUP($A13,DADOS!$A:$J,10,0)="","",VLOOKUP($A13,DADOS!$A:$J,10,0)),"")</f>
        <v/>
      </c>
      <c r="D13" t="str">
        <f>IFERROR(IF(VLOOKUP($A13,DADOS!$A:$I,3,0)="","",VLOOKUP($A13,DADOS!$A:$I,3,0)),"")</f>
        <v/>
      </c>
      <c r="E13" t="str">
        <f>IFERROR(IF(VLOOKUP($A13,DADOS!$A:$I,4,0)="","",VLOOKUP($A13,DADOS!$A:$I,4,0)),"")</f>
        <v/>
      </c>
      <c r="F13" s="3" t="str">
        <f>IFERROR(IF(VLOOKUP($A13,DADOS!$A:$I,5,0)="","",VLOOKUP($A13,DADOS!$A:$I,5,0)),"")</f>
        <v/>
      </c>
      <c r="G13" t="str">
        <f>IFERROR(IF(VLOOKUP($A13,DADOS!$A:$I,6,0)="","",VLOOKUP($A13,DADOS!$A:$I,6,0)),"")</f>
        <v/>
      </c>
      <c r="H13" t="str">
        <f>IFERROR(IF(VLOOKUP($A13,DADOS!$A:$I,7,0)="","",VLOOKUP($A13,DADOS!$A:$I,7,0)),"")</f>
        <v/>
      </c>
      <c r="I13" t="str">
        <f>IFERROR(IF(VLOOKUP($A13,DADOS!$A:$I,8,0)="","",VLOOKUP($A13,DADOS!$A:$I,8,0)),"")</f>
        <v/>
      </c>
      <c r="J13" t="str">
        <f>IFERROR(IF(VLOOKUP($A13,DADOS!$A:$I,9,0)="","",VLOOKUP($A13,DADOS!$A:$I,9,0)),"")</f>
        <v/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ENTRADA</vt:lpstr>
      <vt:lpstr>DADOS</vt:lpstr>
      <vt:lpstr>listas</vt:lpstr>
      <vt:lpstr>FILTRO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Henrique Reis Luz</dc:creator>
  <cp:lastModifiedBy>HENRIQUE PEREIRA DOS REIS LUZ</cp:lastModifiedBy>
  <cp:lastPrinted>2026-07-07T23:33:28Z</cp:lastPrinted>
  <dcterms:created xsi:type="dcterms:W3CDTF">2026-07-03T13:17:43Z</dcterms:created>
  <dcterms:modified xsi:type="dcterms:W3CDTF">2026-07-07T23:58:13Z</dcterms:modified>
</cp:coreProperties>
</file>